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man\OneDrive\Masaüstü\Aircraft Aerodynamics\Assignment 4\"/>
    </mc:Choice>
  </mc:AlternateContent>
  <xr:revisionPtr revIDLastSave="0" documentId="13_ncr:1_{360DE6F2-E4DF-4337-8867-8724483268FC}" xr6:coauthVersionLast="47" xr6:coauthVersionMax="47" xr10:uidLastSave="{00000000-0000-0000-0000-000000000000}"/>
  <bookViews>
    <workbookView xWindow="-108" yWindow="-108" windowWidth="23256" windowHeight="12456" xr2:uid="{DCCC609C-FBAD-41C6-931F-E9A5A78A9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5" i="1"/>
  <c r="O6" i="1"/>
  <c r="O7" i="1" s="1"/>
  <c r="O8" i="1" s="1"/>
  <c r="O9" i="1" s="1"/>
  <c r="O10" i="1" s="1"/>
  <c r="O11" i="1" s="1"/>
  <c r="O12" i="1" s="1"/>
  <c r="O13" i="1" s="1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  <c r="H5" i="1"/>
  <c r="H6" i="1"/>
  <c r="H7" i="1"/>
  <c r="H8" i="1"/>
  <c r="H9" i="1"/>
  <c r="H10" i="1"/>
  <c r="H11" i="1"/>
  <c r="H12" i="1"/>
  <c r="H4" i="1"/>
  <c r="C5" i="1"/>
  <c r="C6" i="1"/>
  <c r="C7" i="1"/>
  <c r="C8" i="1"/>
  <c r="C9" i="1"/>
  <c r="C10" i="1"/>
  <c r="C11" i="1"/>
  <c r="C12" i="1"/>
  <c r="C13" i="1"/>
  <c r="C4" i="1"/>
  <c r="G5" i="1"/>
  <c r="G6" i="1"/>
  <c r="G7" i="1"/>
  <c r="G8" i="1"/>
  <c r="G9" i="1"/>
  <c r="G10" i="1"/>
  <c r="G11" i="1"/>
  <c r="G12" i="1"/>
  <c r="G13" i="1"/>
  <c r="G4" i="1"/>
  <c r="F9" i="1"/>
  <c r="F5" i="1"/>
  <c r="F6" i="1"/>
  <c r="F7" i="1"/>
  <c r="F8" i="1"/>
  <c r="F10" i="1"/>
  <c r="F11" i="1"/>
  <c r="F12" i="1"/>
  <c r="F13" i="1"/>
  <c r="F4" i="1"/>
  <c r="B6" i="1"/>
  <c r="B7" i="1"/>
  <c r="B8" i="1"/>
  <c r="B9" i="1"/>
  <c r="B10" i="1"/>
  <c r="B11" i="1"/>
  <c r="B12" i="1"/>
  <c r="B13" i="1"/>
</calcChain>
</file>

<file path=xl/sharedStrings.xml><?xml version="1.0" encoding="utf-8"?>
<sst xmlns="http://schemas.openxmlformats.org/spreadsheetml/2006/main" count="34" uniqueCount="22">
  <si>
    <t>dY</t>
  </si>
  <si>
    <t>dZ</t>
  </si>
  <si>
    <t>cdi</t>
  </si>
  <si>
    <t>theta</t>
  </si>
  <si>
    <t>phi</t>
  </si>
  <si>
    <t>sin(theta)</t>
  </si>
  <si>
    <t>cos(theta)</t>
  </si>
  <si>
    <t>new y</t>
  </si>
  <si>
    <t>CDi</t>
  </si>
  <si>
    <t>dihedral 12 deg</t>
  </si>
  <si>
    <t>Effect of Dihedral</t>
  </si>
  <si>
    <t>Effect of Cant Angle</t>
  </si>
  <si>
    <t>Standard wing</t>
  </si>
  <si>
    <t>Effect of dihedral and cant angle</t>
  </si>
  <si>
    <t>CL = 0.35</t>
  </si>
  <si>
    <t>Wing-1</t>
  </si>
  <si>
    <t>Wing-1 With Winglet</t>
  </si>
  <si>
    <t>Wing-2</t>
  </si>
  <si>
    <t>Cdi values for CL = 0.35</t>
  </si>
  <si>
    <t>Cdi values for CL = 1</t>
  </si>
  <si>
    <t>(vertical)</t>
  </si>
  <si>
    <t>(horizontal)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</si>
</sst>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1" xfId="0" applyBorder="1"/>
    <xf numFmtId="0" fontId="2" fillId="2" borderId="7" xfId="0" applyFont="1" applyFill="1" applyBorder="1"/>
    <xf numFmtId="0" fontId="2" fillId="2" borderId="1" xfId="0" applyFont="1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4" xfId="0" applyNumberForma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22BB-1E37-499B-BFC2-D287E3AAF3AF}">
  <dimension ref="A2:P40"/>
  <sheetViews>
    <sheetView tabSelected="1" topLeftCell="A2" zoomScale="143" zoomScaleNormal="115" workbookViewId="0">
      <selection activeCell="F37" sqref="F37"/>
    </sheetView>
  </sheetViews>
  <sheetFormatPr defaultRowHeight="14.4" x14ac:dyDescent="0.3"/>
  <cols>
    <col min="1" max="1" width="11.44140625" customWidth="1"/>
    <col min="2" max="2" width="14.6640625" customWidth="1"/>
    <col min="3" max="3" width="22.6640625" customWidth="1"/>
    <col min="4" max="4" width="17.33203125" customWidth="1"/>
    <col min="6" max="6" width="12.44140625" customWidth="1"/>
    <col min="7" max="7" width="12.21875" customWidth="1"/>
    <col min="10" max="10" width="13.88671875" customWidth="1"/>
    <col min="11" max="11" width="12.5546875" customWidth="1"/>
    <col min="12" max="12" width="11.33203125" customWidth="1"/>
    <col min="16" max="16" width="11.109375" customWidth="1"/>
  </cols>
  <sheetData>
    <row r="2" spans="1:16" ht="15" thickBot="1" x14ac:dyDescent="0.35"/>
    <row r="3" spans="1:16" ht="15" thickBot="1" x14ac:dyDescent="0.35">
      <c r="B3" t="s">
        <v>4</v>
      </c>
      <c r="C3" t="s">
        <v>0</v>
      </c>
      <c r="D3" t="s">
        <v>1</v>
      </c>
      <c r="E3" t="s">
        <v>7</v>
      </c>
      <c r="F3" t="s">
        <v>3</v>
      </c>
      <c r="G3" t="s">
        <v>5</v>
      </c>
      <c r="H3" t="s">
        <v>6</v>
      </c>
      <c r="J3" t="s">
        <v>2</v>
      </c>
      <c r="O3" s="4" t="s">
        <v>4</v>
      </c>
      <c r="P3" s="5" t="s">
        <v>8</v>
      </c>
    </row>
    <row r="4" spans="1:16" x14ac:dyDescent="0.3">
      <c r="A4" t="s">
        <v>20</v>
      </c>
      <c r="B4">
        <v>0</v>
      </c>
      <c r="C4">
        <f>G4*1.4</f>
        <v>0</v>
      </c>
      <c r="D4">
        <f>1.4*H4</f>
        <v>1.4</v>
      </c>
      <c r="E4">
        <f>10+C4</f>
        <v>10</v>
      </c>
      <c r="F4">
        <f>B4*PI()/180</f>
        <v>0</v>
      </c>
      <c r="G4">
        <f>SIN(F4)</f>
        <v>0</v>
      </c>
      <c r="H4">
        <f>COS(F4)</f>
        <v>1</v>
      </c>
      <c r="J4" s="20">
        <v>3.3371999999999998E-3</v>
      </c>
      <c r="K4">
        <v>3.3371999999999998E-3</v>
      </c>
      <c r="O4" s="1">
        <v>0</v>
      </c>
      <c r="P4" s="2">
        <v>3.3371999999999998E-3</v>
      </c>
    </row>
    <row r="5" spans="1:16" x14ac:dyDescent="0.3">
      <c r="B5">
        <v>10</v>
      </c>
      <c r="C5">
        <f t="shared" ref="C5:C13" si="0">G5*1.4</f>
        <v>0.24310744873370244</v>
      </c>
      <c r="D5">
        <f t="shared" ref="D5:D13" si="1">1.4*H5</f>
        <v>1.3787308542170911</v>
      </c>
      <c r="E5">
        <f t="shared" ref="E5:E13" si="2">10+C5</f>
        <v>10.243107448733703</v>
      </c>
      <c r="F5">
        <f t="shared" ref="F5:F13" si="3">B5*PI()/180</f>
        <v>0.17453292519943295</v>
      </c>
      <c r="G5">
        <f t="shared" ref="G5:G13" si="4">SIN(F5)</f>
        <v>0.17364817766693033</v>
      </c>
      <c r="H5">
        <f t="shared" ref="H5:H12" si="5">COS(F5)</f>
        <v>0.98480775301220802</v>
      </c>
      <c r="J5" s="20">
        <v>3.3064000000000001E-3</v>
      </c>
      <c r="K5">
        <v>3.3064000000000001E-3</v>
      </c>
      <c r="O5" s="6">
        <v>10</v>
      </c>
      <c r="P5" s="7">
        <v>3.3064000000000001E-3</v>
      </c>
    </row>
    <row r="6" spans="1:16" x14ac:dyDescent="0.3">
      <c r="B6">
        <f t="shared" ref="B6:B13" si="6">B5+10</f>
        <v>20</v>
      </c>
      <c r="C6">
        <f t="shared" si="0"/>
        <v>0.47882820065593618</v>
      </c>
      <c r="D6">
        <f t="shared" si="1"/>
        <v>1.3155696691002716</v>
      </c>
      <c r="E6">
        <f t="shared" si="2"/>
        <v>10.478828200655936</v>
      </c>
      <c r="F6">
        <f t="shared" si="3"/>
        <v>0.3490658503988659</v>
      </c>
      <c r="G6">
        <f t="shared" si="4"/>
        <v>0.34202014332566871</v>
      </c>
      <c r="H6">
        <f t="shared" si="5"/>
        <v>0.93969262078590843</v>
      </c>
      <c r="J6" s="20">
        <v>3.2755000000000002E-3</v>
      </c>
      <c r="K6">
        <v>3.2755000000000002E-3</v>
      </c>
      <c r="O6" s="1">
        <f t="shared" ref="O6:O13" si="7">O5+10</f>
        <v>20</v>
      </c>
      <c r="P6" s="2">
        <v>3.2755000000000002E-3</v>
      </c>
    </row>
    <row r="7" spans="1:16" x14ac:dyDescent="0.3">
      <c r="B7">
        <f t="shared" si="6"/>
        <v>30</v>
      </c>
      <c r="C7">
        <f t="shared" si="0"/>
        <v>0.69999999999999984</v>
      </c>
      <c r="D7">
        <f t="shared" si="1"/>
        <v>1.2124355652982142</v>
      </c>
      <c r="E7">
        <f t="shared" si="2"/>
        <v>10.7</v>
      </c>
      <c r="F7">
        <f t="shared" si="3"/>
        <v>0.52359877559829882</v>
      </c>
      <c r="G7">
        <f t="shared" si="4"/>
        <v>0.49999999999999994</v>
      </c>
      <c r="H7">
        <f t="shared" si="5"/>
        <v>0.86602540378443871</v>
      </c>
      <c r="J7" s="20">
        <v>3.2463000000000001E-3</v>
      </c>
      <c r="K7">
        <v>3.2463000000000001E-3</v>
      </c>
      <c r="O7" s="6">
        <f t="shared" si="7"/>
        <v>30</v>
      </c>
      <c r="P7" s="7">
        <v>3.2463000000000001E-3</v>
      </c>
    </row>
    <row r="8" spans="1:16" x14ac:dyDescent="0.3">
      <c r="B8">
        <f t="shared" si="6"/>
        <v>40</v>
      </c>
      <c r="C8">
        <f t="shared" si="0"/>
        <v>0.89990265356115484</v>
      </c>
      <c r="D8">
        <f t="shared" si="1"/>
        <v>1.0724622203665692</v>
      </c>
      <c r="E8">
        <f t="shared" si="2"/>
        <v>10.899902653561155</v>
      </c>
      <c r="F8">
        <f t="shared" si="3"/>
        <v>0.69813170079773179</v>
      </c>
      <c r="G8">
        <f t="shared" si="4"/>
        <v>0.64278760968653925</v>
      </c>
      <c r="H8">
        <f t="shared" si="5"/>
        <v>0.76604444311897801</v>
      </c>
      <c r="J8" s="20">
        <v>3.2200000000000002E-3</v>
      </c>
      <c r="K8">
        <v>3.2200000000000002E-3</v>
      </c>
      <c r="O8" s="1">
        <f t="shared" si="7"/>
        <v>40</v>
      </c>
      <c r="P8" s="2">
        <v>3.2200000000000002E-3</v>
      </c>
    </row>
    <row r="9" spans="1:16" x14ac:dyDescent="0.3">
      <c r="B9">
        <f t="shared" si="6"/>
        <v>50</v>
      </c>
      <c r="C9">
        <f t="shared" si="0"/>
        <v>1.0724622203665692</v>
      </c>
      <c r="D9">
        <f t="shared" si="1"/>
        <v>0.89990265356115506</v>
      </c>
      <c r="E9">
        <f t="shared" si="2"/>
        <v>11.072462220366569</v>
      </c>
      <c r="F9">
        <f>B9*PI()/180</f>
        <v>0.87266462599716477</v>
      </c>
      <c r="G9">
        <f t="shared" si="4"/>
        <v>0.76604444311897801</v>
      </c>
      <c r="H9">
        <f t="shared" si="5"/>
        <v>0.64278760968653936</v>
      </c>
      <c r="J9" s="20">
        <v>3.1973000000000001E-3</v>
      </c>
      <c r="K9">
        <v>3.1973000000000001E-3</v>
      </c>
      <c r="O9" s="6">
        <f t="shared" si="7"/>
        <v>50</v>
      </c>
      <c r="P9" s="7">
        <v>3.1973000000000001E-3</v>
      </c>
    </row>
    <row r="10" spans="1:16" x14ac:dyDescent="0.3">
      <c r="B10">
        <f t="shared" si="6"/>
        <v>60</v>
      </c>
      <c r="C10">
        <f t="shared" si="0"/>
        <v>1.2124355652982139</v>
      </c>
      <c r="D10">
        <f t="shared" si="1"/>
        <v>0.70000000000000007</v>
      </c>
      <c r="E10">
        <f t="shared" si="2"/>
        <v>11.212435565298215</v>
      </c>
      <c r="F10">
        <f t="shared" si="3"/>
        <v>1.0471975511965976</v>
      </c>
      <c r="G10">
        <f t="shared" si="4"/>
        <v>0.8660254037844386</v>
      </c>
      <c r="H10">
        <f t="shared" si="5"/>
        <v>0.50000000000000011</v>
      </c>
      <c r="J10" s="20">
        <v>3.1786000000000002E-3</v>
      </c>
      <c r="K10">
        <v>3.1786000000000002E-3</v>
      </c>
      <c r="O10" s="1">
        <f t="shared" si="7"/>
        <v>60</v>
      </c>
      <c r="P10" s="2">
        <v>3.1786000000000002E-3</v>
      </c>
    </row>
    <row r="11" spans="1:16" x14ac:dyDescent="0.3">
      <c r="B11">
        <f t="shared" si="6"/>
        <v>70</v>
      </c>
      <c r="C11">
        <f t="shared" si="0"/>
        <v>1.3155696691002716</v>
      </c>
      <c r="D11">
        <f t="shared" si="1"/>
        <v>0.47882820065593634</v>
      </c>
      <c r="E11">
        <f t="shared" si="2"/>
        <v>11.315569669100272</v>
      </c>
      <c r="F11">
        <f t="shared" si="3"/>
        <v>1.2217304763960306</v>
      </c>
      <c r="G11">
        <f t="shared" si="4"/>
        <v>0.93969262078590832</v>
      </c>
      <c r="H11">
        <f t="shared" si="5"/>
        <v>0.34202014332566882</v>
      </c>
      <c r="J11" s="20">
        <v>3.1573E-3</v>
      </c>
      <c r="K11">
        <v>3.1643000000000001E-3</v>
      </c>
      <c r="O11" s="6">
        <f t="shared" si="7"/>
        <v>70</v>
      </c>
      <c r="P11" s="7">
        <v>3.1643000000000001E-3</v>
      </c>
    </row>
    <row r="12" spans="1:16" x14ac:dyDescent="0.3">
      <c r="B12">
        <f t="shared" si="6"/>
        <v>80</v>
      </c>
      <c r="C12">
        <f t="shared" si="0"/>
        <v>1.3787308542170911</v>
      </c>
      <c r="D12">
        <f t="shared" si="1"/>
        <v>0.24310744873370257</v>
      </c>
      <c r="E12">
        <f t="shared" si="2"/>
        <v>11.378730854217091</v>
      </c>
      <c r="F12">
        <f t="shared" si="3"/>
        <v>1.3962634015954636</v>
      </c>
      <c r="G12">
        <f t="shared" si="4"/>
        <v>0.98480775301220802</v>
      </c>
      <c r="H12">
        <f t="shared" si="5"/>
        <v>0.17364817766693041</v>
      </c>
      <c r="J12" s="20">
        <v>3.1362E-3</v>
      </c>
      <c r="K12">
        <v>3.1546E-3</v>
      </c>
      <c r="O12" s="1">
        <f t="shared" si="7"/>
        <v>80</v>
      </c>
      <c r="P12" s="2">
        <v>3.1546E-3</v>
      </c>
    </row>
    <row r="13" spans="1:16" ht="15" thickBot="1" x14ac:dyDescent="0.35">
      <c r="A13" t="s">
        <v>21</v>
      </c>
      <c r="B13">
        <f t="shared" si="6"/>
        <v>90</v>
      </c>
      <c r="C13">
        <f t="shared" si="0"/>
        <v>1.4</v>
      </c>
      <c r="D13">
        <f t="shared" si="1"/>
        <v>0</v>
      </c>
      <c r="E13">
        <f t="shared" si="2"/>
        <v>11.4</v>
      </c>
      <c r="F13">
        <f t="shared" si="3"/>
        <v>1.5707963267948966</v>
      </c>
      <c r="G13">
        <f t="shared" si="4"/>
        <v>1</v>
      </c>
      <c r="H13">
        <v>0</v>
      </c>
      <c r="J13" s="20">
        <v>3.1445000000000002E-3</v>
      </c>
      <c r="K13">
        <v>3.1503999999999998E-3</v>
      </c>
      <c r="O13" s="8">
        <f t="shared" si="7"/>
        <v>90</v>
      </c>
      <c r="P13" s="9">
        <v>3.1503999999999998E-3</v>
      </c>
    </row>
    <row r="15" spans="1:16" x14ac:dyDescent="0.3">
      <c r="B15" t="s">
        <v>9</v>
      </c>
      <c r="J15" s="11">
        <v>3.4594000000000001E-3</v>
      </c>
    </row>
    <row r="16" spans="1:16" x14ac:dyDescent="0.3">
      <c r="O16" s="19"/>
    </row>
    <row r="18" spans="2:9" x14ac:dyDescent="0.3">
      <c r="B18" s="10" t="s">
        <v>14</v>
      </c>
      <c r="C18" s="10"/>
      <c r="D18" s="10"/>
      <c r="E18" s="10"/>
      <c r="F18" s="10"/>
      <c r="G18" s="10"/>
      <c r="H18" s="10"/>
      <c r="I18" s="10"/>
    </row>
    <row r="19" spans="2:9" x14ac:dyDescent="0.3">
      <c r="B19" t="s">
        <v>12</v>
      </c>
      <c r="C19" s="10" t="s">
        <v>10</v>
      </c>
      <c r="D19" s="10"/>
      <c r="E19" s="10" t="s">
        <v>11</v>
      </c>
      <c r="F19" s="10"/>
      <c r="G19" s="10" t="s">
        <v>13</v>
      </c>
      <c r="H19" s="10"/>
      <c r="I19" s="10"/>
    </row>
    <row r="20" spans="2:9" x14ac:dyDescent="0.3">
      <c r="B20" t="s">
        <v>2</v>
      </c>
      <c r="C20" t="s">
        <v>3</v>
      </c>
      <c r="D20" t="s">
        <v>2</v>
      </c>
      <c r="E20" t="s">
        <v>4</v>
      </c>
      <c r="F20" t="s">
        <v>2</v>
      </c>
      <c r="G20" t="s">
        <v>4</v>
      </c>
      <c r="H20" t="s">
        <v>3</v>
      </c>
      <c r="I20" t="s">
        <v>2</v>
      </c>
    </row>
    <row r="21" spans="2:9" x14ac:dyDescent="0.3">
      <c r="C21">
        <v>10</v>
      </c>
      <c r="D21">
        <v>3.4594999999999999E-3</v>
      </c>
      <c r="E21">
        <v>30</v>
      </c>
      <c r="F21">
        <v>3.2463000000000001E-3</v>
      </c>
      <c r="G21">
        <v>30</v>
      </c>
      <c r="H21">
        <v>10</v>
      </c>
    </row>
    <row r="22" spans="2:9" x14ac:dyDescent="0.3">
      <c r="C22">
        <v>20</v>
      </c>
      <c r="D22">
        <v>3.4448999999999999E-3</v>
      </c>
      <c r="E22">
        <v>60</v>
      </c>
      <c r="F22">
        <v>3.1786000000000002E-3</v>
      </c>
      <c r="G22">
        <v>30</v>
      </c>
      <c r="H22">
        <v>20</v>
      </c>
    </row>
    <row r="23" spans="2:9" x14ac:dyDescent="0.3">
      <c r="C23">
        <v>30</v>
      </c>
      <c r="D23">
        <v>3.3961E-3</v>
      </c>
      <c r="E23">
        <v>90</v>
      </c>
      <c r="F23">
        <v>3.1445000000000002E-3</v>
      </c>
      <c r="G23">
        <v>30</v>
      </c>
      <c r="H23">
        <v>30</v>
      </c>
    </row>
    <row r="24" spans="2:9" x14ac:dyDescent="0.3">
      <c r="C24">
        <v>40</v>
      </c>
      <c r="D24">
        <v>3.3161000000000002E-3</v>
      </c>
      <c r="G24">
        <v>60</v>
      </c>
      <c r="H24">
        <v>10</v>
      </c>
    </row>
    <row r="25" spans="2:9" x14ac:dyDescent="0.3">
      <c r="C25">
        <v>50</v>
      </c>
      <c r="D25">
        <v>3.2149000000000001E-3</v>
      </c>
      <c r="G25">
        <v>60</v>
      </c>
      <c r="H25">
        <v>20</v>
      </c>
    </row>
    <row r="26" spans="2:9" x14ac:dyDescent="0.3">
      <c r="C26">
        <v>80</v>
      </c>
      <c r="D26">
        <v>6.1542000000000003E-3</v>
      </c>
      <c r="G26">
        <v>60</v>
      </c>
      <c r="H26">
        <v>30</v>
      </c>
    </row>
    <row r="27" spans="2:9" x14ac:dyDescent="0.3">
      <c r="G27">
        <v>90</v>
      </c>
      <c r="H27">
        <v>10</v>
      </c>
    </row>
    <row r="28" spans="2:9" x14ac:dyDescent="0.3">
      <c r="G28">
        <v>90</v>
      </c>
      <c r="H28">
        <v>20</v>
      </c>
    </row>
    <row r="29" spans="2:9" x14ac:dyDescent="0.3">
      <c r="G29">
        <v>90</v>
      </c>
      <c r="H29">
        <v>30</v>
      </c>
    </row>
    <row r="33" spans="2:6" ht="15" thickBot="1" x14ac:dyDescent="0.35"/>
    <row r="34" spans="2:6" ht="15" thickBot="1" x14ac:dyDescent="0.35">
      <c r="B34" s="12" t="s">
        <v>18</v>
      </c>
      <c r="C34" s="13"/>
      <c r="D34" s="14"/>
    </row>
    <row r="35" spans="2:6" ht="15" thickBot="1" x14ac:dyDescent="0.35">
      <c r="B35" s="17" t="s">
        <v>15</v>
      </c>
      <c r="C35" s="18" t="s">
        <v>16</v>
      </c>
      <c r="D35" s="17" t="s">
        <v>17</v>
      </c>
      <c r="F35">
        <f>(K13-B36)/K13*100</f>
        <v>-7.4847638395124427</v>
      </c>
    </row>
    <row r="36" spans="2:6" ht="15" thickBot="1" x14ac:dyDescent="0.35">
      <c r="B36" s="15">
        <v>3.3861999999999998E-3</v>
      </c>
      <c r="C36" s="15">
        <v>3.3371999999999998E-3</v>
      </c>
      <c r="D36" s="16">
        <v>3.4594000000000001E-3</v>
      </c>
      <c r="F36" s="11">
        <f>(K13-D36)/K13*100</f>
        <v>-9.8082783138649141</v>
      </c>
    </row>
    <row r="37" spans="2:6" ht="15" thickBot="1" x14ac:dyDescent="0.35"/>
    <row r="38" spans="2:6" ht="15" thickBot="1" x14ac:dyDescent="0.35">
      <c r="B38" s="12" t="s">
        <v>19</v>
      </c>
      <c r="C38" s="13"/>
      <c r="D38" s="14"/>
    </row>
    <row r="39" spans="2:6" ht="15" thickBot="1" x14ac:dyDescent="0.35">
      <c r="B39" s="17" t="s">
        <v>15</v>
      </c>
      <c r="C39" s="17" t="s">
        <v>16</v>
      </c>
      <c r="D39" s="17" t="s">
        <v>17</v>
      </c>
    </row>
    <row r="40" spans="2:6" ht="15" thickBot="1" x14ac:dyDescent="0.35">
      <c r="B40" s="3">
        <v>2.7459000000000001E-2</v>
      </c>
      <c r="C40" s="3">
        <v>2.7117599999999999E-2</v>
      </c>
      <c r="D40" s="3">
        <v>2.8807800000000001E-2</v>
      </c>
    </row>
  </sheetData>
  <mergeCells count="6">
    <mergeCell ref="C19:D19"/>
    <mergeCell ref="E19:F19"/>
    <mergeCell ref="G19:I19"/>
    <mergeCell ref="B18:I18"/>
    <mergeCell ref="B34:D34"/>
    <mergeCell ref="B38:D3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Alphan Umman</dc:creator>
  <cp:lastModifiedBy>Alphan Umman</cp:lastModifiedBy>
  <cp:lastPrinted>2026-02-24T23:33:03Z</cp:lastPrinted>
  <dcterms:created xsi:type="dcterms:W3CDTF">2026-02-24T18:01:28Z</dcterms:created>
  <dcterms:modified xsi:type="dcterms:W3CDTF">2026-02-25T00:00:38Z</dcterms:modified>
</cp:coreProperties>
</file>